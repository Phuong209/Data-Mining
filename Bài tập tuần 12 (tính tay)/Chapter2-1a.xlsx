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0"/>
  <workbookPr filterPrivacy="1"/>
  <xr:revisionPtr revIDLastSave="0" documentId="13_ncr:1_{6E9CF7BB-B4BE-45EF-890B-CB78808CDEEF}" xr6:coauthVersionLast="47" xr6:coauthVersionMax="47" xr10:uidLastSave="{00000000-0000-0000-0000-000000000000}"/>
  <bookViews>
    <workbookView xWindow="-110" yWindow="-110" windowWidth="19420" windowHeight="10300" xr2:uid="{00000000-000D-0000-FFFF-FFFF00000000}"/>
  </bookViews>
  <sheets>
    <sheet name="temp-sa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3" i="1"/>
  <c r="D12" i="1"/>
  <c r="D9" i="1"/>
  <c r="D6" i="1"/>
  <c r="D8" i="1"/>
  <c r="D7" i="1"/>
  <c r="D5" i="1"/>
  <c r="D4" i="1"/>
  <c r="D3" i="1"/>
</calcChain>
</file>

<file path=xl/sharedStrings.xml><?xml version="1.0" encoding="utf-8"?>
<sst xmlns="http://schemas.openxmlformats.org/spreadsheetml/2006/main" count="11" uniqueCount="11">
  <si>
    <t>Scoring Data</t>
  </si>
  <si>
    <t>Prediction</t>
  </si>
  <si>
    <t>Temperature (F)</t>
  </si>
  <si>
    <t>Ice Cream Sale (dollar in thousand)</t>
  </si>
  <si>
    <t>SUM(F)</t>
  </si>
  <si>
    <t>Sum(dit)</t>
  </si>
  <si>
    <t>Sum(F.dit)</t>
  </si>
  <si>
    <t>Sum(F^2)</t>
  </si>
  <si>
    <t>N</t>
  </si>
  <si>
    <t>M</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</si>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</sst>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D15" sqref="D15"/>
    </sheetView>
  </sheetViews>
  <sheetFormatPr defaultRowHeight="14.5" x14ac:dyDescent="0.35"/>
  <cols>
    <col min="1" max="1" width="16.81640625" bestFit="1" customWidth="1"/>
    <col min="2" max="2" width="35.81640625" bestFit="1" customWidth="1"/>
    <col min="3" max="3" width="13.54296875" customWidth="1"/>
    <col min="4" max="4" width="15" customWidth="1"/>
  </cols>
  <sheetData>
    <row r="1" spans="1:4" ht="15.5" x14ac:dyDescent="0.35">
      <c r="A1" s="1" t="s">
        <v>2</v>
      </c>
      <c r="B1" s="1" t="s">
        <v>3</v>
      </c>
      <c r="C1" s="2"/>
      <c r="D1" s="2"/>
    </row>
    <row r="2" spans="1:4" ht="15.5" x14ac:dyDescent="0.35">
      <c r="A2" s="2">
        <v>91</v>
      </c>
      <c r="B2" s="2">
        <v>89.8</v>
      </c>
      <c r="C2" s="3"/>
      <c r="D2" s="2"/>
    </row>
    <row r="3" spans="1:4" ht="15.5" x14ac:dyDescent="0.35">
      <c r="A3" s="2">
        <v>87</v>
      </c>
      <c r="B3" s="2">
        <v>90.2</v>
      </c>
      <c r="C3" s="3" t="s">
        <v>4</v>
      </c>
      <c r="D3" s="2">
        <f>SUM(A2:A9)</f>
        <v>731</v>
      </c>
    </row>
    <row r="4" spans="1:4" ht="15.5" x14ac:dyDescent="0.35">
      <c r="A4" s="2">
        <v>86</v>
      </c>
      <c r="B4" s="2">
        <v>81.099999999999994</v>
      </c>
      <c r="C4" s="3" t="s">
        <v>5</v>
      </c>
      <c r="D4" s="2">
        <f>SUM(B2:B9)</f>
        <v>781.3</v>
      </c>
    </row>
    <row r="5" spans="1:4" ht="15.5" x14ac:dyDescent="0.35">
      <c r="A5" s="2">
        <v>88</v>
      </c>
      <c r="B5" s="2">
        <v>83</v>
      </c>
      <c r="C5" s="3" t="s">
        <v>6</v>
      </c>
      <c r="D5" s="2">
        <f>SUMPRODUCT(A2:A9,B2:B9)</f>
        <v>71851.77</v>
      </c>
    </row>
    <row r="6" spans="1:4" ht="15.5" x14ac:dyDescent="0.35">
      <c r="A6" s="2">
        <v>92.8</v>
      </c>
      <c r="B6" s="2">
        <v>90.9</v>
      </c>
      <c r="C6" s="3" t="s">
        <v>7</v>
      </c>
      <c r="D6" s="2">
        <f>SUMPRODUCT(A2:A9,A2:A9)</f>
        <v>66915.06</v>
      </c>
    </row>
    <row r="7" spans="1:4" ht="15.5" x14ac:dyDescent="0.35">
      <c r="A7" s="2">
        <v>95.2</v>
      </c>
      <c r="B7" s="2">
        <v>119</v>
      </c>
      <c r="C7" s="3" t="s">
        <v>8</v>
      </c>
      <c r="D7" s="2">
        <f>COUNT(A2:A9)</f>
        <v>8</v>
      </c>
    </row>
    <row r="8" spans="1:4" ht="15.5" x14ac:dyDescent="0.35">
      <c r="A8" s="2">
        <v>93.3</v>
      </c>
      <c r="B8" s="2">
        <v>94.9</v>
      </c>
      <c r="C8" s="3" t="s">
        <v>9</v>
      </c>
      <c r="D8" s="2">
        <f>(D7*D5-D3*D4)/(D7*D6-D3^2)</f>
        <v>3.8394338600076852</v>
      </c>
    </row>
    <row r="9" spans="1:4" ht="15.5" x14ac:dyDescent="0.35">
      <c r="A9" s="2">
        <v>97.7</v>
      </c>
      <c r="B9" s="2">
        <v>132.4</v>
      </c>
      <c r="C9" s="3" t="s">
        <v>10</v>
      </c>
      <c r="D9" s="2">
        <f>(D6*D4-D3*D5)/(D7*D6-D3^2)</f>
        <v>-253.16576895819699</v>
      </c>
    </row>
    <row r="10" spans="1:4" ht="15.5" x14ac:dyDescent="0.35">
      <c r="A10" s="2"/>
      <c r="B10" s="2"/>
      <c r="C10" s="2"/>
      <c r="D10" s="2"/>
    </row>
    <row r="11" spans="1:4" ht="15.5" x14ac:dyDescent="0.35">
      <c r="A11" s="2"/>
      <c r="B11" s="2"/>
      <c r="C11" s="3" t="s">
        <v>0</v>
      </c>
      <c r="D11" s="1" t="s">
        <v>1</v>
      </c>
    </row>
    <row r="12" spans="1:4" ht="15.5" x14ac:dyDescent="0.35">
      <c r="A12" s="2"/>
      <c r="B12" s="2"/>
      <c r="C12" s="2">
        <v>88.8</v>
      </c>
      <c r="D12" s="4">
        <f>(D8*C12+D9)</f>
        <v>87.775957810485437</v>
      </c>
    </row>
    <row r="13" spans="1:4" ht="15.5" x14ac:dyDescent="0.35">
      <c r="A13" s="2"/>
      <c r="B13" s="2"/>
      <c r="C13" s="2">
        <v>96.9</v>
      </c>
      <c r="D13" s="4">
        <f>(D8*C13+D9)</f>
        <v>118.87537207654773</v>
      </c>
    </row>
    <row r="14" spans="1:4" ht="15.5" x14ac:dyDescent="0.35">
      <c r="A14" s="2"/>
      <c r="B14" s="2"/>
      <c r="C14" s="2">
        <v>94.7</v>
      </c>
      <c r="D14" s="4">
        <f>(D8*C14+D9)</f>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2025-11-18T08:39:43Z</dcterms:modified>
</cp:coreProperties>
</file>